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venue Build" sheetId="3" state="visible" r:id="rId3"/>
    <sheet xmlns:r="http://schemas.openxmlformats.org/officeDocument/2006/relationships" name="P&amp;L" sheetId="4" state="visible" r:id="rId4"/>
    <sheet xmlns:r="http://schemas.openxmlformats.org/officeDocument/2006/relationships" name="Headcount" sheetId="5" state="visible" r:id="rId5"/>
    <sheet xmlns:r="http://schemas.openxmlformats.org/officeDocument/2006/relationships" name="Sensitivit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0.00"/>
    <numFmt numFmtId="166" formatCode="$0.00;($0.00)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7A6A45"/>
      <sz val="9"/>
    </font>
    <font>
      <b val="1"/>
    </font>
    <font>
      <b val="1"/>
      <color rgb="0017120C"/>
    </font>
    <font/>
    <font>
      <color rgb="001F4E79"/>
    </font>
  </fonts>
  <fills count="4">
    <fill>
      <patternFill/>
    </fill>
    <fill>
      <patternFill patternType="gray125"/>
    </fill>
    <fill>
      <patternFill patternType="solid">
        <fgColor rgb="00C9A227"/>
      </patternFill>
    </fill>
    <fill>
      <patternFill patternType="solid">
        <fgColor rgb="00F7F1DF"/>
      </patternFill>
    </fill>
  </fills>
  <borders count="2">
    <border>
      <left/>
      <right/>
      <top/>
      <bottom/>
      <diagonal/>
    </border>
    <border>
      <left style="thin">
        <color rgb="00D9CFAF"/>
      </left>
      <right style="thin">
        <color rgb="00D9CFAF"/>
      </right>
      <top style="thin">
        <color rgb="00D9CFAF"/>
      </top>
      <bottom style="thin">
        <color rgb="00D9CFA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pivotButton="0" quotePrefix="0" xfId="0"/>
    <xf numFmtId="0" fontId="3" fillId="0" borderId="0" pivotButton="0" quotePrefix="0" xfId="0"/>
    <xf numFmtId="0" fontId="5" fillId="0" borderId="1" pivotButton="0" quotePrefix="0" xfId="0"/>
    <xf numFmtId="164" fontId="6" fillId="0" borderId="1" pivotButton="0" quotePrefix="0" xfId="0"/>
    <xf numFmtId="9" fontId="6" fillId="0" borderId="1" pivotButton="0" quotePrefix="0" xfId="0"/>
    <xf numFmtId="3" fontId="6" fillId="0" borderId="1" pivotButton="0" quotePrefix="0" xfId="0"/>
    <xf numFmtId="165" fontId="6" fillId="0" borderId="1" pivotButton="0" quotePrefix="0" xfId="0"/>
    <xf numFmtId="0" fontId="3" fillId="0" borderId="1" pivotButton="0" quotePrefix="0" xfId="0"/>
    <xf numFmtId="164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3" fillId="3" borderId="1" pivotButton="0" quotePrefix="0" xfId="0"/>
    <xf numFmtId="165" fontId="3" fillId="3" borderId="1" pivotButton="0" quotePrefix="0" xfId="0"/>
    <xf numFmtId="165" fontId="3" fillId="0" borderId="1" pivotButton="0" quotePrefix="0" xfId="0"/>
    <xf numFmtId="9" fontId="0" fillId="0" borderId="1" pivotButton="0" quotePrefix="0" xfId="0"/>
    <xf numFmtId="166" fontId="3" fillId="3" borderId="1" pivotButton="0" quotePrefix="0" xfId="0"/>
    <xf numFmtId="3" fontId="0" fillId="0" borderId="1" pivotButton="0" quotePrefix="0" xfId="0"/>
    <xf numFmtId="3" fontId="3" fillId="3" borderId="1" pivotButton="0" quotePrefix="0" xfId="0"/>
    <xf numFmtId="0" fontId="4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FundExecs Technologies — 5-Year Financial Model</t>
        </is>
      </c>
    </row>
    <row r="2">
      <c r="A2" s="2" t="inlineStr">
        <is>
          <t>Confidential · July 2026</t>
        </is>
      </c>
    </row>
    <row r="3">
      <c r="A3" t="inlineStr"/>
    </row>
    <row r="4">
      <c r="A4" t="inlineStr">
        <is>
          <t>This workbook is an illustrative planning model, not a forecast. All figures are</t>
        </is>
      </c>
    </row>
    <row r="5">
      <c r="A5" t="inlineStr">
        <is>
          <t>management estimates derived from the assumptions on the 'Assumptions' sheet and</t>
        </is>
      </c>
    </row>
    <row r="6">
      <c r="A6" t="inlineStr">
        <is>
          <t>should be stress-tested in diligence. FY1 begins at close of the seed round</t>
        </is>
      </c>
    </row>
    <row r="7">
      <c r="A7" t="inlineStr">
        <is>
          <t>(assumed Q4 2026). Figures in USD.</t>
        </is>
      </c>
    </row>
    <row r="8">
      <c r="A8" t="inlineStr"/>
    </row>
    <row r="9">
      <c r="A9" t="inlineStr">
        <is>
          <t>Sheets:</t>
        </is>
      </c>
    </row>
    <row r="10">
      <c r="A10" t="inlineStr">
        <is>
          <t xml:space="preserve">  Assumptions — pricing, mix, usage uplift, customers, churn, NRR, cost ratios</t>
        </is>
      </c>
    </row>
    <row r="11">
      <c r="A11" t="inlineStr">
        <is>
          <t xml:space="preserve">  Revenue Build — blended ARPA and ARR computed by formula from Assumptions</t>
        </is>
      </c>
    </row>
    <row r="12">
      <c r="A12" t="inlineStr">
        <is>
          <t xml:space="preserve">  P&amp;L — recognized revenue, COGS, OpEx, EBITDA (formula-driven)</t>
        </is>
      </c>
    </row>
    <row r="13">
      <c r="A13" t="inlineStr">
        <is>
          <t xml:space="preserve">  Headcount — hiring plan by function</t>
        </is>
      </c>
    </row>
    <row r="14">
      <c r="A14" t="inlineStr">
        <is>
          <t xml:space="preserve">  Sensitivities — downside scenarios and mitigants</t>
        </is>
      </c>
    </row>
    <row r="15">
      <c r="A15" t="inlineStr"/>
    </row>
    <row r="16">
      <c r="A16" t="inlineStr">
        <is>
          <t>Change any blue input cell on Assumptions and the model recalculates.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Assumptions</t>
        </is>
      </c>
    </row>
    <row r="2">
      <c r="A2" s="2" t="inlineStr">
        <is>
          <t>Blue cells are inputs — edit these; everything else is formula-driven.</t>
        </is>
      </c>
    </row>
    <row r="4">
      <c r="A4" s="3" t="inlineStr"/>
      <c r="B4" s="3" t="inlineStr">
        <is>
          <t>FY1</t>
        </is>
      </c>
      <c r="C4" s="3" t="inlineStr">
        <is>
          <t>FY2</t>
        </is>
      </c>
      <c r="D4" s="3" t="inlineStr">
        <is>
          <t>FY3</t>
        </is>
      </c>
      <c r="E4" s="3" t="inlineStr">
        <is>
          <t>FY4</t>
        </is>
      </c>
      <c r="F4" s="3" t="inlineStr">
        <is>
          <t>FY5</t>
        </is>
      </c>
    </row>
    <row r="5">
      <c r="A5" s="4" t="inlineStr">
        <is>
          <t>Pricing ($/org/month)</t>
        </is>
      </c>
    </row>
    <row r="6">
      <c r="A6" s="5" t="inlineStr">
        <is>
          <t>Starter-tier equivalent</t>
        </is>
      </c>
      <c r="B6" s="6" t="n">
        <v>50</v>
      </c>
      <c r="C6" s="6" t="n">
        <v>100</v>
      </c>
      <c r="D6" s="6" t="n">
        <v>125</v>
      </c>
      <c r="E6" s="6" t="n">
        <v>150</v>
      </c>
      <c r="F6" s="6" t="n">
        <v>175</v>
      </c>
    </row>
    <row r="7">
      <c r="A7" s="5" t="inlineStr">
        <is>
          <t>Pro-tier equivalent</t>
        </is>
      </c>
      <c r="B7" s="6" t="n">
        <v>300</v>
      </c>
      <c r="C7" s="6" t="n">
        <v>450</v>
      </c>
      <c r="D7" s="6" t="n">
        <v>600</v>
      </c>
      <c r="E7" s="6" t="n">
        <v>700</v>
      </c>
      <c r="F7" s="6" t="n">
        <v>800</v>
      </c>
    </row>
    <row r="8">
      <c r="A8" s="5" t="inlineStr">
        <is>
          <t>Scale-tier equivalent</t>
        </is>
      </c>
      <c r="B8" s="6" t="n">
        <v>1000</v>
      </c>
      <c r="C8" s="6" t="n">
        <v>1250</v>
      </c>
      <c r="D8" s="6" t="n">
        <v>1500</v>
      </c>
      <c r="E8" s="6" t="n">
        <v>1750</v>
      </c>
      <c r="F8" s="6" t="n">
        <v>2000</v>
      </c>
    </row>
    <row r="9">
      <c r="A9" s="4" t="inlineStr">
        <is>
          <t>Customer mix (must sum to 100%)</t>
        </is>
      </c>
    </row>
    <row r="10">
      <c r="A10" s="5" t="inlineStr">
        <is>
          <t>Starter mix</t>
        </is>
      </c>
      <c r="B10" s="7" t="n">
        <v>0.55</v>
      </c>
      <c r="C10" s="7" t="n">
        <v>0.5</v>
      </c>
      <c r="D10" s="7" t="n">
        <v>0.45</v>
      </c>
      <c r="E10" s="7" t="n">
        <v>0.4</v>
      </c>
      <c r="F10" s="7" t="n">
        <v>0.35</v>
      </c>
    </row>
    <row r="11">
      <c r="A11" s="5" t="inlineStr">
        <is>
          <t>Pro mix</t>
        </is>
      </c>
      <c r="B11" s="7" t="n">
        <v>0.35</v>
      </c>
      <c r="C11" s="7" t="n">
        <v>0.38</v>
      </c>
      <c r="D11" s="7" t="n">
        <v>0.4</v>
      </c>
      <c r="E11" s="7" t="n">
        <v>0.42</v>
      </c>
      <c r="F11" s="7" t="n">
        <v>0.43</v>
      </c>
    </row>
    <row r="12">
      <c r="A12" s="5" t="inlineStr">
        <is>
          <t>Scale mix</t>
        </is>
      </c>
      <c r="B12" s="7" t="n">
        <v>0.1</v>
      </c>
      <c r="C12" s="7" t="n">
        <v>0.12</v>
      </c>
      <c r="D12" s="7" t="n">
        <v>0.15</v>
      </c>
      <c r="E12" s="7" t="n">
        <v>0.18</v>
      </c>
      <c r="F12" s="7" t="n">
        <v>0.22</v>
      </c>
    </row>
    <row r="13">
      <c r="A13" s="4" t="inlineStr">
        <is>
          <t>Usage &amp; customers</t>
        </is>
      </c>
    </row>
    <row r="14">
      <c r="A14" s="5" t="inlineStr">
        <is>
          <t>Credits/usage uplift on subscription</t>
        </is>
      </c>
      <c r="B14" s="7" t="n">
        <v>0.15</v>
      </c>
      <c r="C14" s="7" t="n">
        <v>0.2</v>
      </c>
      <c r="D14" s="7" t="n">
        <v>0.25</v>
      </c>
      <c r="E14" s="7" t="n">
        <v>0.3</v>
      </c>
      <c r="F14" s="7" t="n">
        <v>0.3</v>
      </c>
    </row>
    <row r="15">
      <c r="A15" s="5" t="inlineStr">
        <is>
          <t>Paying orgs (EOY)</t>
        </is>
      </c>
      <c r="B15" s="8" t="n">
        <v>40</v>
      </c>
      <c r="C15" s="8" t="n">
        <v>160</v>
      </c>
      <c r="D15" s="8" t="n">
        <v>450</v>
      </c>
      <c r="E15" s="8" t="n">
        <v>1000</v>
      </c>
      <c r="F15" s="8" t="n">
        <v>1900</v>
      </c>
    </row>
    <row r="16">
      <c r="A16" s="5" t="inlineStr">
        <is>
          <t>Gross logo churn (annual)</t>
        </is>
      </c>
      <c r="B16" s="7" t="n">
        <v>0.15</v>
      </c>
      <c r="C16" s="7" t="n">
        <v>0.15</v>
      </c>
      <c r="D16" s="7" t="n">
        <v>0.12</v>
      </c>
      <c r="E16" s="7" t="n">
        <v>0.1</v>
      </c>
      <c r="F16" s="7" t="n">
        <v>0.1</v>
      </c>
    </row>
    <row r="17">
      <c r="A17" s="5" t="inlineStr">
        <is>
          <t>Net revenue retention</t>
        </is>
      </c>
      <c r="B17" s="7" t="n">
        <v>1</v>
      </c>
      <c r="C17" s="7" t="n">
        <v>1.1</v>
      </c>
      <c r="D17" s="7" t="n">
        <v>1.15</v>
      </c>
      <c r="E17" s="7" t="n">
        <v>1.18</v>
      </c>
      <c r="F17" s="7" t="n">
        <v>1.2</v>
      </c>
    </row>
    <row r="18">
      <c r="A18" s="4" t="inlineStr">
        <is>
          <t>Other revenue &amp; cost ratios</t>
        </is>
      </c>
    </row>
    <row r="19">
      <c r="A19" s="5" t="inlineStr">
        <is>
          <t>Marketplace + data/API ARR ($M, EOY)</t>
        </is>
      </c>
      <c r="B19" s="9" t="n">
        <v>0</v>
      </c>
      <c r="C19" s="9" t="n">
        <v>0.05</v>
      </c>
      <c r="D19" s="9" t="n">
        <v>0.55</v>
      </c>
      <c r="E19" s="9" t="n">
        <v>1.5</v>
      </c>
      <c r="F19" s="9" t="n">
        <v>3</v>
      </c>
    </row>
    <row r="20">
      <c r="A20" s="5" t="inlineStr">
        <is>
          <t>COGS as % of revenue</t>
        </is>
      </c>
      <c r="B20" s="7" t="n">
        <v>0.55</v>
      </c>
      <c r="C20" s="7" t="n">
        <v>0.31</v>
      </c>
      <c r="D20" s="7" t="n">
        <v>0.23</v>
      </c>
      <c r="E20" s="7" t="n">
        <v>0.21</v>
      </c>
      <c r="F20" s="7" t="n">
        <v>0.19</v>
      </c>
    </row>
    <row r="21">
      <c r="A21" s="4" t="inlineStr">
        <is>
          <t>OpEx plan ($M)</t>
        </is>
      </c>
    </row>
    <row r="22">
      <c r="A22" s="5" t="inlineStr">
        <is>
          <t>R&amp;D / Engineering</t>
        </is>
      </c>
      <c r="B22" s="9" t="n">
        <v>0.9</v>
      </c>
      <c r="C22" s="9" t="n">
        <v>1.5</v>
      </c>
      <c r="D22" s="9" t="n">
        <v>2.6</v>
      </c>
      <c r="E22" s="9" t="n">
        <v>4.5</v>
      </c>
      <c r="F22" s="9" t="n">
        <v>7</v>
      </c>
    </row>
    <row r="23">
      <c r="A23" s="5" t="inlineStr">
        <is>
          <t>Sales &amp; Marketing</t>
        </is>
      </c>
      <c r="B23" s="9" t="n">
        <v>0.2</v>
      </c>
      <c r="C23" s="9" t="n">
        <v>0.5</v>
      </c>
      <c r="D23" s="9" t="n">
        <v>1.3</v>
      </c>
      <c r="E23" s="9" t="n">
        <v>2.7</v>
      </c>
      <c r="F23" s="9" t="n">
        <v>4.9</v>
      </c>
    </row>
    <row r="24">
      <c r="A24" s="5" t="inlineStr">
        <is>
          <t>G&amp;A (incl. legal/compliance)</t>
        </is>
      </c>
      <c r="B24" s="9" t="n">
        <v>0.3</v>
      </c>
      <c r="C24" s="9" t="n">
        <v>0.5</v>
      </c>
      <c r="D24" s="9" t="n">
        <v>0.9</v>
      </c>
      <c r="E24" s="9" t="n">
        <v>1.6</v>
      </c>
      <c r="F24" s="9" t="n">
        <v>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Revenue Build</t>
        </is>
      </c>
    </row>
    <row r="2">
      <c r="A2" s="2" t="inlineStr">
        <is>
          <t>Formula-driven from the Assumptions sheet.</t>
        </is>
      </c>
    </row>
    <row r="4">
      <c r="A4" s="3" t="inlineStr"/>
      <c r="B4" s="3" t="inlineStr">
        <is>
          <t>FY1</t>
        </is>
      </c>
      <c r="C4" s="3" t="inlineStr">
        <is>
          <t>FY2</t>
        </is>
      </c>
      <c r="D4" s="3" t="inlineStr">
        <is>
          <t>FY3</t>
        </is>
      </c>
      <c r="E4" s="3" t="inlineStr">
        <is>
          <t>FY4</t>
        </is>
      </c>
      <c r="F4" s="3" t="inlineStr">
        <is>
          <t>FY5</t>
        </is>
      </c>
    </row>
    <row r="5">
      <c r="A5" s="10" t="inlineStr">
        <is>
          <t>Blended ARPA ($/org/yr)</t>
        </is>
      </c>
      <c r="B5" s="11">
        <f>(Assumptions!B6*Assumptions!B10+Assumptions!B7*Assumptions!B11+Assumptions!B8*Assumptions!B12)*12*(1+Assumptions!B14)</f>
        <v/>
      </c>
      <c r="C5" s="11">
        <f>(Assumptions!C6*Assumptions!C10+Assumptions!C7*Assumptions!C11+Assumptions!C8*Assumptions!C12)*12*(1+Assumptions!C14)</f>
        <v/>
      </c>
      <c r="D5" s="11">
        <f>(Assumptions!D6*Assumptions!D10+Assumptions!D7*Assumptions!D11+Assumptions!D8*Assumptions!D12)*12*(1+Assumptions!D14)</f>
        <v/>
      </c>
      <c r="E5" s="11">
        <f>(Assumptions!E6*Assumptions!E10+Assumptions!E7*Assumptions!E11+Assumptions!E8*Assumptions!E12)*12*(1+Assumptions!E14)</f>
        <v/>
      </c>
      <c r="F5" s="11">
        <f>(Assumptions!F6*Assumptions!F10+Assumptions!F7*Assumptions!F11+Assumptions!F8*Assumptions!F12)*12*(1+Assumptions!F14)</f>
        <v/>
      </c>
    </row>
    <row r="6">
      <c r="A6" s="12" t="inlineStr">
        <is>
          <t>Subscription + usage ARR ($M, EOY)</t>
        </is>
      </c>
      <c r="B6" s="13">
        <f>Assumptions!B15*B5/1000000</f>
        <v/>
      </c>
      <c r="C6" s="13">
        <f>Assumptions!C15*C5/1000000</f>
        <v/>
      </c>
      <c r="D6" s="13">
        <f>Assumptions!D15*D5/1000000</f>
        <v/>
      </c>
      <c r="E6" s="13">
        <f>Assumptions!E15*E5/1000000</f>
        <v/>
      </c>
      <c r="F6" s="13">
        <f>Assumptions!F15*F5/1000000</f>
        <v/>
      </c>
    </row>
    <row r="7">
      <c r="A7" s="12" t="inlineStr">
        <is>
          <t>Marketplace + data/API ARR ($M)</t>
        </is>
      </c>
      <c r="B7" s="13">
        <f>Assumptions!B19</f>
        <v/>
      </c>
      <c r="C7" s="13">
        <f>Assumptions!C19</f>
        <v/>
      </c>
      <c r="D7" s="13">
        <f>Assumptions!D19</f>
        <v/>
      </c>
      <c r="E7" s="13">
        <f>Assumptions!E19</f>
        <v/>
      </c>
      <c r="F7" s="13">
        <f>Assumptions!F19</f>
        <v/>
      </c>
    </row>
    <row r="8">
      <c r="A8" s="14" t="inlineStr">
        <is>
          <t>Total ARR ($M, EOY)</t>
        </is>
      </c>
      <c r="B8" s="15">
        <f>B6+B7</f>
        <v/>
      </c>
      <c r="C8" s="15">
        <f>C6+C7</f>
        <v/>
      </c>
      <c r="D8" s="15">
        <f>D6+D7</f>
        <v/>
      </c>
      <c r="E8" s="15">
        <f>E6+E7</f>
        <v/>
      </c>
      <c r="F8" s="15">
        <f>F6+F7</f>
        <v/>
      </c>
    </row>
    <row r="9">
      <c r="A9" s="10" t="inlineStr">
        <is>
          <t>Recognized revenue ($M) ≈ avg ARR × 95%</t>
        </is>
      </c>
      <c r="B9" s="16">
        <f>(0+B8)/2*0.95</f>
        <v/>
      </c>
      <c r="C9" s="16">
        <f>(B8+C8)/2*0.95</f>
        <v/>
      </c>
      <c r="D9" s="16">
        <f>(C8+D8)/2*0.95</f>
        <v/>
      </c>
      <c r="E9" s="16">
        <f>(D8+E8)/2*0.95</f>
        <v/>
      </c>
      <c r="F9" s="16">
        <f>(E8+F8)/2*0.95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P&amp;L Summary ($M)</t>
        </is>
      </c>
    </row>
    <row r="2">
      <c r="A2" s="2" t="inlineStr">
        <is>
          <t>Formula-driven; EBITDA breakeven expected late FY5 on plan.</t>
        </is>
      </c>
    </row>
    <row r="4">
      <c r="A4" s="3" t="inlineStr"/>
      <c r="B4" s="3" t="inlineStr">
        <is>
          <t>FY1</t>
        </is>
      </c>
      <c r="C4" s="3" t="inlineStr">
        <is>
          <t>FY2</t>
        </is>
      </c>
      <c r="D4" s="3" t="inlineStr">
        <is>
          <t>FY3</t>
        </is>
      </c>
      <c r="E4" s="3" t="inlineStr">
        <is>
          <t>FY4</t>
        </is>
      </c>
      <c r="F4" s="3" t="inlineStr">
        <is>
          <t>FY5</t>
        </is>
      </c>
    </row>
    <row r="5">
      <c r="A5" s="5" t="inlineStr">
        <is>
          <t>Revenue</t>
        </is>
      </c>
      <c r="B5" s="13">
        <f>'Revenue Build'!B9</f>
        <v/>
      </c>
      <c r="C5" s="13">
        <f>'Revenue Build'!C9</f>
        <v/>
      </c>
      <c r="D5" s="13">
        <f>'Revenue Build'!D9</f>
        <v/>
      </c>
      <c r="E5" s="13">
        <f>'Revenue Build'!E9</f>
        <v/>
      </c>
      <c r="F5" s="13">
        <f>'Revenue Build'!F9</f>
        <v/>
      </c>
    </row>
    <row r="6">
      <c r="A6" s="5" t="inlineStr">
        <is>
          <t>COGS (AI compute, infra, support)</t>
        </is>
      </c>
      <c r="B6" s="13">
        <f>B5*Assumptions!B20</f>
        <v/>
      </c>
      <c r="C6" s="13">
        <f>C5*Assumptions!C20</f>
        <v/>
      </c>
      <c r="D6" s="13">
        <f>D5*Assumptions!D20</f>
        <v/>
      </c>
      <c r="E6" s="13">
        <f>E5*Assumptions!E20</f>
        <v/>
      </c>
      <c r="F6" s="13">
        <f>F5*Assumptions!F20</f>
        <v/>
      </c>
    </row>
    <row r="7">
      <c r="A7" s="14" t="inlineStr">
        <is>
          <t>Gross profit</t>
        </is>
      </c>
      <c r="B7" s="15">
        <f>B5-B6</f>
        <v/>
      </c>
      <c r="C7" s="15">
        <f>C5-C6</f>
        <v/>
      </c>
      <c r="D7" s="15">
        <f>D5-D6</f>
        <v/>
      </c>
      <c r="E7" s="15">
        <f>E5-E6</f>
        <v/>
      </c>
      <c r="F7" s="15">
        <f>F5-F6</f>
        <v/>
      </c>
    </row>
    <row r="8">
      <c r="A8" s="5" t="inlineStr">
        <is>
          <t>Gross margin</t>
        </is>
      </c>
      <c r="B8" s="17">
        <f>IF(B5=0,0,B7/B5)</f>
        <v/>
      </c>
      <c r="C8" s="17">
        <f>IF(C5=0,0,C7/C5)</f>
        <v/>
      </c>
      <c r="D8" s="17">
        <f>IF(D5=0,0,D7/D5)</f>
        <v/>
      </c>
      <c r="E8" s="17">
        <f>IF(E5=0,0,E7/E5)</f>
        <v/>
      </c>
      <c r="F8" s="17">
        <f>IF(F5=0,0,F7/F5)</f>
        <v/>
      </c>
    </row>
    <row r="9">
      <c r="A9" s="5" t="inlineStr">
        <is>
          <t>R&amp;D / Engineering</t>
        </is>
      </c>
      <c r="B9" s="13">
        <f>Assumptions!B22</f>
        <v/>
      </c>
      <c r="C9" s="13">
        <f>Assumptions!C22</f>
        <v/>
      </c>
      <c r="D9" s="13">
        <f>Assumptions!D22</f>
        <v/>
      </c>
      <c r="E9" s="13">
        <f>Assumptions!E22</f>
        <v/>
      </c>
      <c r="F9" s="13">
        <f>Assumptions!F22</f>
        <v/>
      </c>
    </row>
    <row r="10">
      <c r="A10" s="5" t="inlineStr">
        <is>
          <t>Sales &amp; Marketing</t>
        </is>
      </c>
      <c r="B10" s="13">
        <f>Assumptions!B23</f>
        <v/>
      </c>
      <c r="C10" s="13">
        <f>Assumptions!C23</f>
        <v/>
      </c>
      <c r="D10" s="13">
        <f>Assumptions!D23</f>
        <v/>
      </c>
      <c r="E10" s="13">
        <f>Assumptions!E23</f>
        <v/>
      </c>
      <c r="F10" s="13">
        <f>Assumptions!F23</f>
        <v/>
      </c>
    </row>
    <row r="11">
      <c r="A11" s="5" t="inlineStr">
        <is>
          <t>G&amp;A</t>
        </is>
      </c>
      <c r="B11" s="13">
        <f>Assumptions!B24</f>
        <v/>
      </c>
      <c r="C11" s="13">
        <f>Assumptions!C24</f>
        <v/>
      </c>
      <c r="D11" s="13">
        <f>Assumptions!D24</f>
        <v/>
      </c>
      <c r="E11" s="13">
        <f>Assumptions!E24</f>
        <v/>
      </c>
      <c r="F11" s="13">
        <f>Assumptions!F24</f>
        <v/>
      </c>
    </row>
    <row r="12">
      <c r="A12" s="10" t="inlineStr">
        <is>
          <t>Total OpEx</t>
        </is>
      </c>
      <c r="B12" s="16">
        <f>SUM(B9:B11)</f>
        <v/>
      </c>
      <c r="C12" s="16">
        <f>SUM(C9:C11)</f>
        <v/>
      </c>
      <c r="D12" s="16">
        <f>SUM(D9:D11)</f>
        <v/>
      </c>
      <c r="E12" s="16">
        <f>SUM(E9:E11)</f>
        <v/>
      </c>
      <c r="F12" s="16">
        <f>SUM(F9:F11)</f>
        <v/>
      </c>
    </row>
    <row r="13">
      <c r="A13" s="14" t="inlineStr">
        <is>
          <t>EBITDA</t>
        </is>
      </c>
      <c r="B13" s="18">
        <f>B7-B12</f>
        <v/>
      </c>
      <c r="C13" s="18">
        <f>C7-C12</f>
        <v/>
      </c>
      <c r="D13" s="18">
        <f>D7-D12</f>
        <v/>
      </c>
      <c r="E13" s="18">
        <f>E7-E12</f>
        <v/>
      </c>
      <c r="F13" s="18">
        <f>F7-F12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Headcount Plan (FTEs, EOY)</t>
        </is>
      </c>
    </row>
    <row r="4">
      <c r="A4" s="3" t="inlineStr"/>
      <c r="B4" s="3" t="inlineStr">
        <is>
          <t>FY1</t>
        </is>
      </c>
      <c r="C4" s="3" t="inlineStr">
        <is>
          <t>FY2</t>
        </is>
      </c>
      <c r="D4" s="3" t="inlineStr">
        <is>
          <t>FY3</t>
        </is>
      </c>
      <c r="E4" s="3" t="inlineStr">
        <is>
          <t>FY4</t>
        </is>
      </c>
      <c r="F4" s="3" t="inlineStr">
        <is>
          <t>FY5</t>
        </is>
      </c>
    </row>
    <row r="5">
      <c r="A5" s="5" t="inlineStr">
        <is>
          <t>Engineering &amp; product</t>
        </is>
      </c>
      <c r="B5" s="19" t="n">
        <v>4</v>
      </c>
      <c r="C5" s="19" t="n">
        <v>7</v>
      </c>
      <c r="D5" s="19" t="n">
        <v>12</v>
      </c>
      <c r="E5" s="19" t="n">
        <v>20</v>
      </c>
      <c r="F5" s="19" t="n">
        <v>30</v>
      </c>
    </row>
    <row r="6">
      <c r="A6" s="5" t="inlineStr">
        <is>
          <t>GTM &amp; success</t>
        </is>
      </c>
      <c r="B6" s="19" t="n">
        <v>1</v>
      </c>
      <c r="C6" s="19" t="n">
        <v>3</v>
      </c>
      <c r="D6" s="19" t="n">
        <v>7</v>
      </c>
      <c r="E6" s="19" t="n">
        <v>13</v>
      </c>
      <c r="F6" s="19" t="n">
        <v>21</v>
      </c>
    </row>
    <row r="7">
      <c r="A7" s="5" t="inlineStr">
        <is>
          <t>G&amp;A / ops</t>
        </is>
      </c>
      <c r="B7" s="19" t="n">
        <v>1</v>
      </c>
      <c r="C7" s="19" t="n">
        <v>2</v>
      </c>
      <c r="D7" s="19" t="n">
        <v>3</v>
      </c>
      <c r="E7" s="19" t="n">
        <v>5</v>
      </c>
      <c r="F7" s="19" t="n">
        <v>8</v>
      </c>
    </row>
    <row r="8">
      <c r="A8" s="14" t="inlineStr">
        <is>
          <t>Total</t>
        </is>
      </c>
      <c r="B8" s="20">
        <f>SUM(B5:B7)</f>
        <v/>
      </c>
      <c r="C8" s="20">
        <f>SUM(C5:C7)</f>
        <v/>
      </c>
      <c r="D8" s="20">
        <f>SUM(D5:D7)</f>
        <v/>
      </c>
      <c r="E8" s="20">
        <f>SUM(E5:E7)</f>
        <v/>
      </c>
      <c r="F8" s="20">
        <f>SUM(F5:F7)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60" customWidth="1" min="3" max="3"/>
  </cols>
  <sheetData>
    <row r="1">
      <c r="A1" s="1" t="inlineStr">
        <is>
          <t>Key Sensitivities</t>
        </is>
      </c>
    </row>
    <row r="4">
      <c r="A4" s="21" t="inlineStr">
        <is>
          <t>Variable</t>
        </is>
      </c>
      <c r="B4" s="21" t="inlineStr">
        <is>
          <t>Downside effect</t>
        </is>
      </c>
      <c r="C4" s="21" t="inlineStr">
        <is>
          <t>Mitigant</t>
        </is>
      </c>
    </row>
    <row r="5">
      <c r="A5" s="22" t="inlineStr">
        <is>
          <t>Repricing lags proof of value</t>
        </is>
      </c>
      <c r="B5" s="22" t="inlineStr">
        <is>
          <t>FY3+ ARR −40–50%</t>
        </is>
      </c>
      <c r="C5" s="22" t="inlineStr">
        <is>
          <t>Credits still capture usage growth; delay hires to match</t>
        </is>
      </c>
    </row>
    <row r="6">
      <c r="A6" s="22" t="inlineStr">
        <is>
          <t>Churn 20%+ in beachhead</t>
        </is>
      </c>
      <c r="B6" s="22" t="inlineStr">
        <is>
          <t>FY5 orgs ~1,300</t>
        </is>
      </c>
      <c r="C6" s="22" t="inlineStr">
        <is>
          <t>Compounding graphs/Brains raise switching costs with tenure</t>
        </is>
      </c>
    </row>
    <row r="7">
      <c r="A7" s="22" t="inlineStr">
        <is>
          <t>AI compute cost doesn't fall</t>
        </is>
      </c>
      <c r="B7" s="22" t="inlineStr">
        <is>
          <t>Gross margin plateaus ~70%</t>
        </is>
      </c>
      <c r="C7" s="22" t="inlineStr">
        <is>
          <t>Cost-tiered routing (live), per-run caps, pass-through via credits</t>
        </is>
      </c>
    </row>
    <row r="8">
      <c r="A8" s="22" t="inlineStr">
        <is>
          <t>Slower logo adds (half pace)</t>
        </is>
      </c>
      <c r="B8" s="22" t="inlineStr">
        <is>
          <t>FY5 ARR ~$14M</t>
        </is>
      </c>
      <c r="C8" s="22" t="inlineStr">
        <is>
          <t>Still a strong Series B profile; burn scales down with GTM spend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2026-07-04T17:00:00Z</dcterms:created>
  <dcterms:modified xmlns:dcterms="http://purl.org/dc/terms/" xmlns:xsi="http://www.w3.org/2001/XMLSchema-instance" xsi:type="dcterms:W3CDTF">2026-07-04T17:00:00Z</dcterms:modified>
</cp:coreProperties>
</file>